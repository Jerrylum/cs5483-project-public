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Develop\GitHub\cs5483-project\result\"/>
    </mc:Choice>
  </mc:AlternateContent>
  <xr:revisionPtr revIDLastSave="0" documentId="13_ncr:1_{491BD431-0D68-454F-9D3E-1E1AB03D9733}" xr6:coauthVersionLast="47" xr6:coauthVersionMax="47" xr10:uidLastSave="{00000000-0000-0000-0000-000000000000}"/>
  <bookViews>
    <workbookView xWindow="984" yWindow="648" windowWidth="21924" windowHeight="116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H34" i="1"/>
  <c r="I32" i="1"/>
  <c r="H32" i="1"/>
  <c r="I33" i="1"/>
  <c r="H33" i="1"/>
  <c r="I31" i="1"/>
  <c r="H31" i="1"/>
  <c r="I29" i="1"/>
  <c r="H29" i="1"/>
  <c r="I26" i="1"/>
  <c r="H26" i="1"/>
  <c r="I30" i="1"/>
  <c r="H30" i="1"/>
  <c r="I28" i="1"/>
  <c r="H28" i="1"/>
  <c r="I27" i="1"/>
  <c r="H27" i="1"/>
  <c r="I24" i="1"/>
  <c r="H24" i="1"/>
  <c r="I21" i="1"/>
  <c r="H21" i="1"/>
  <c r="I25" i="1"/>
  <c r="H25" i="1"/>
  <c r="I22" i="1"/>
  <c r="H22" i="1"/>
  <c r="I23" i="1"/>
  <c r="H23" i="1"/>
  <c r="I20" i="1"/>
  <c r="H2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</calcChain>
</file>

<file path=xl/sharedStrings.xml><?xml version="1.0" encoding="utf-8"?>
<sst xmlns="http://schemas.openxmlformats.org/spreadsheetml/2006/main" count="46" uniqueCount="23">
  <si>
    <t>adaboost</t>
  </si>
  <si>
    <t>catboost</t>
  </si>
  <si>
    <t>lightgbm</t>
  </si>
  <si>
    <t>random-forest</t>
  </si>
  <si>
    <t>xgboost</t>
  </si>
  <si>
    <t>Feature name</t>
  </si>
  <si>
    <t>comments</t>
  </si>
  <si>
    <t>changed_files</t>
  </si>
  <si>
    <t>additions</t>
  </si>
  <si>
    <t>deletions</t>
  </si>
  <si>
    <t>commits</t>
  </si>
  <si>
    <t>review_comments</t>
  </si>
  <si>
    <t>nature</t>
  </si>
  <si>
    <t>changes_quality_score_confidence</t>
  </si>
  <si>
    <t>changes_necessity_justification</t>
  </si>
  <si>
    <t>changes_necessity_score_confidence</t>
  </si>
  <si>
    <t>description_quality_score_confidence</t>
  </si>
  <si>
    <t>changes_quality</t>
  </si>
  <si>
    <t>description_quality</t>
  </si>
  <si>
    <t>changes_necessity</t>
  </si>
  <si>
    <t>alignment</t>
  </si>
  <si>
    <t>mean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</si>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</sst>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4"/>
  <sheetViews>
    <sheetView tabSelected="1" topLeftCell="A16" workbookViewId="0">
      <selection activeCell="K19" sqref="K19"/>
    </sheetView>
  </sheetViews>
  <sheetFormatPr defaultRowHeight="15" x14ac:dyDescent="0.3"/>
  <cols>
    <col min="2" max="2" width="36.5" bestFit="1" customWidth="1"/>
    <col min="4" max="4" width="8.625" bestFit="1" customWidth="1"/>
    <col min="6" max="6" width="14" bestFit="1" customWidth="1"/>
    <col min="7" max="7" width="11.25" customWidth="1"/>
    <col min="8" max="8" width="13.375" customWidth="1"/>
    <col min="9" max="9" width="12.75" bestFit="1" customWidth="1"/>
    <col min="11" max="11" width="20.625" customWidth="1"/>
  </cols>
  <sheetData>
    <row r="2" spans="2:9" x14ac:dyDescent="0.3">
      <c r="B2" t="s">
        <v>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21</v>
      </c>
      <c r="I2" t="s">
        <v>22</v>
      </c>
    </row>
    <row r="3" spans="2:9" x14ac:dyDescent="0.3">
      <c r="B3" t="s">
        <v>6</v>
      </c>
      <c r="C3">
        <v>1</v>
      </c>
      <c r="D3">
        <v>1</v>
      </c>
      <c r="E3">
        <v>3</v>
      </c>
      <c r="F3">
        <v>1</v>
      </c>
      <c r="G3">
        <v>1</v>
      </c>
      <c r="H3">
        <f>AVERAGE(C3:G3)</f>
        <v>1.4</v>
      </c>
      <c r="I3">
        <f>_xlfn.STDEV.S(C3:G3)</f>
        <v>0.89442719099991574</v>
      </c>
    </row>
    <row r="4" spans="2:9" x14ac:dyDescent="0.3">
      <c r="B4" t="s">
        <v>7</v>
      </c>
      <c r="C4">
        <v>2</v>
      </c>
      <c r="D4">
        <v>5</v>
      </c>
      <c r="E4">
        <v>5</v>
      </c>
      <c r="F4">
        <v>6</v>
      </c>
      <c r="G4">
        <v>4</v>
      </c>
      <c r="H4">
        <f t="shared" ref="H4:H17" si="0">AVERAGE(C4:G4)</f>
        <v>4.4000000000000004</v>
      </c>
      <c r="I4">
        <f t="shared" ref="I4:I17" si="1">_xlfn.STDEV.S(C4:G4)</f>
        <v>1.5165750888103104</v>
      </c>
    </row>
    <row r="5" spans="2:9" x14ac:dyDescent="0.3">
      <c r="B5" t="s">
        <v>8</v>
      </c>
      <c r="C5">
        <v>3</v>
      </c>
      <c r="D5">
        <v>6</v>
      </c>
      <c r="E5">
        <v>1</v>
      </c>
      <c r="F5">
        <v>2</v>
      </c>
      <c r="G5">
        <v>9</v>
      </c>
      <c r="H5">
        <f t="shared" si="0"/>
        <v>4.2</v>
      </c>
      <c r="I5">
        <f t="shared" si="1"/>
        <v>3.271085446759225</v>
      </c>
    </row>
    <row r="6" spans="2:9" x14ac:dyDescent="0.3">
      <c r="B6" t="s">
        <v>9</v>
      </c>
      <c r="C6">
        <v>4</v>
      </c>
      <c r="D6">
        <v>4</v>
      </c>
      <c r="E6">
        <v>2</v>
      </c>
      <c r="F6">
        <v>3</v>
      </c>
      <c r="G6">
        <v>10</v>
      </c>
      <c r="H6">
        <f t="shared" si="0"/>
        <v>4.5999999999999996</v>
      </c>
      <c r="I6">
        <f t="shared" si="1"/>
        <v>3.1304951684997055</v>
      </c>
    </row>
    <row r="7" spans="2:9" x14ac:dyDescent="0.3">
      <c r="B7" t="s">
        <v>12</v>
      </c>
      <c r="C7">
        <v>5</v>
      </c>
      <c r="D7">
        <v>2</v>
      </c>
      <c r="E7">
        <v>4</v>
      </c>
      <c r="F7">
        <v>4</v>
      </c>
      <c r="G7">
        <v>5</v>
      </c>
      <c r="H7">
        <f t="shared" si="0"/>
        <v>4</v>
      </c>
      <c r="I7">
        <f t="shared" si="1"/>
        <v>1.2247448713915889</v>
      </c>
    </row>
    <row r="8" spans="2:9" x14ac:dyDescent="0.3">
      <c r="B8" t="s">
        <v>10</v>
      </c>
      <c r="C8">
        <v>6</v>
      </c>
      <c r="D8">
        <v>3</v>
      </c>
      <c r="E8">
        <v>7</v>
      </c>
      <c r="F8">
        <v>5</v>
      </c>
      <c r="G8">
        <v>2</v>
      </c>
      <c r="H8">
        <f t="shared" si="0"/>
        <v>4.5999999999999996</v>
      </c>
      <c r="I8">
        <f t="shared" si="1"/>
        <v>2.0736441353327724</v>
      </c>
    </row>
    <row r="9" spans="2:9" x14ac:dyDescent="0.3">
      <c r="B9" t="s">
        <v>13</v>
      </c>
      <c r="C9">
        <v>7</v>
      </c>
      <c r="D9">
        <v>9</v>
      </c>
      <c r="E9">
        <v>10</v>
      </c>
      <c r="F9">
        <v>10</v>
      </c>
      <c r="G9">
        <v>7</v>
      </c>
      <c r="H9">
        <f t="shared" si="0"/>
        <v>8.6</v>
      </c>
      <c r="I9">
        <f t="shared" si="1"/>
        <v>1.5165750888103091</v>
      </c>
    </row>
    <row r="10" spans="2:9" x14ac:dyDescent="0.3">
      <c r="B10" t="s">
        <v>14</v>
      </c>
      <c r="C10">
        <v>8</v>
      </c>
      <c r="D10">
        <v>10</v>
      </c>
      <c r="E10">
        <v>8</v>
      </c>
      <c r="F10">
        <v>8</v>
      </c>
      <c r="G10">
        <v>12</v>
      </c>
      <c r="H10">
        <f t="shared" si="0"/>
        <v>9.1999999999999993</v>
      </c>
      <c r="I10">
        <f t="shared" si="1"/>
        <v>1.7888543819998326</v>
      </c>
    </row>
    <row r="11" spans="2:9" x14ac:dyDescent="0.3">
      <c r="B11" t="s">
        <v>15</v>
      </c>
      <c r="C11">
        <v>9</v>
      </c>
      <c r="D11">
        <v>11</v>
      </c>
      <c r="E11">
        <v>9</v>
      </c>
      <c r="F11">
        <v>9</v>
      </c>
      <c r="G11">
        <v>15</v>
      </c>
      <c r="H11">
        <f t="shared" si="0"/>
        <v>10.6</v>
      </c>
      <c r="I11">
        <f t="shared" si="1"/>
        <v>2.6076809620810617</v>
      </c>
    </row>
    <row r="12" spans="2:9" x14ac:dyDescent="0.3">
      <c r="B12" t="s">
        <v>11</v>
      </c>
      <c r="C12">
        <v>10</v>
      </c>
      <c r="D12">
        <v>7</v>
      </c>
      <c r="E12">
        <v>11</v>
      </c>
      <c r="F12">
        <v>11</v>
      </c>
      <c r="G12">
        <v>3</v>
      </c>
      <c r="H12">
        <f t="shared" si="0"/>
        <v>8.4</v>
      </c>
      <c r="I12">
        <f t="shared" si="1"/>
        <v>3.4351128074635331</v>
      </c>
    </row>
    <row r="13" spans="2:9" x14ac:dyDescent="0.3">
      <c r="B13" t="s">
        <v>16</v>
      </c>
      <c r="C13">
        <v>11</v>
      </c>
      <c r="D13">
        <v>8</v>
      </c>
      <c r="E13">
        <v>6</v>
      </c>
      <c r="F13">
        <v>7</v>
      </c>
      <c r="G13">
        <v>14</v>
      </c>
      <c r="H13">
        <f t="shared" si="0"/>
        <v>9.1999999999999993</v>
      </c>
      <c r="I13">
        <f t="shared" si="1"/>
        <v>3.2710854467592259</v>
      </c>
    </row>
    <row r="14" spans="2:9" x14ac:dyDescent="0.3">
      <c r="B14" t="s">
        <v>17</v>
      </c>
      <c r="C14">
        <v>12</v>
      </c>
      <c r="D14">
        <v>13</v>
      </c>
      <c r="E14">
        <v>13</v>
      </c>
      <c r="F14">
        <v>13</v>
      </c>
      <c r="G14">
        <v>8</v>
      </c>
      <c r="H14">
        <f t="shared" si="0"/>
        <v>11.8</v>
      </c>
      <c r="I14">
        <f t="shared" si="1"/>
        <v>2.1679483388678773</v>
      </c>
    </row>
    <row r="15" spans="2:9" x14ac:dyDescent="0.3">
      <c r="B15" t="s">
        <v>18</v>
      </c>
      <c r="C15">
        <v>13</v>
      </c>
      <c r="D15">
        <v>12</v>
      </c>
      <c r="E15">
        <v>14</v>
      </c>
      <c r="F15">
        <v>14</v>
      </c>
      <c r="G15">
        <v>13</v>
      </c>
      <c r="H15">
        <f t="shared" si="0"/>
        <v>13.2</v>
      </c>
      <c r="I15">
        <f t="shared" si="1"/>
        <v>0.83666002653407556</v>
      </c>
    </row>
    <row r="16" spans="2:9" x14ac:dyDescent="0.3">
      <c r="B16" t="s">
        <v>19</v>
      </c>
      <c r="C16">
        <v>14</v>
      </c>
      <c r="D16">
        <v>14</v>
      </c>
      <c r="E16">
        <v>12</v>
      </c>
      <c r="F16">
        <v>12</v>
      </c>
      <c r="G16">
        <v>11</v>
      </c>
      <c r="H16">
        <f t="shared" si="0"/>
        <v>12.6</v>
      </c>
      <c r="I16">
        <f t="shared" si="1"/>
        <v>1.3416407864998738</v>
      </c>
    </row>
    <row r="17" spans="2:9" x14ac:dyDescent="0.3">
      <c r="B17" t="s">
        <v>20</v>
      </c>
      <c r="C17">
        <v>15</v>
      </c>
      <c r="D17">
        <v>15</v>
      </c>
      <c r="E17">
        <v>15</v>
      </c>
      <c r="F17">
        <v>15</v>
      </c>
      <c r="G17">
        <v>6</v>
      </c>
      <c r="H17">
        <f t="shared" si="0"/>
        <v>13.2</v>
      </c>
      <c r="I17">
        <f t="shared" si="1"/>
        <v>4.0249223594996204</v>
      </c>
    </row>
    <row r="19" spans="2:9" x14ac:dyDescent="0.3">
      <c r="B19" t="s">
        <v>5</v>
      </c>
      <c r="C19" t="s">
        <v>0</v>
      </c>
      <c r="D19" t="s">
        <v>1</v>
      </c>
      <c r="E19" t="s">
        <v>2</v>
      </c>
      <c r="F19" t="s">
        <v>3</v>
      </c>
      <c r="G19" t="s">
        <v>4</v>
      </c>
      <c r="H19" t="s">
        <v>21</v>
      </c>
      <c r="I19" t="s">
        <v>22</v>
      </c>
    </row>
    <row r="20" spans="2:9" x14ac:dyDescent="0.3">
      <c r="B20" t="s">
        <v>6</v>
      </c>
      <c r="C20">
        <v>1</v>
      </c>
      <c r="D20">
        <v>1</v>
      </c>
      <c r="E20">
        <v>3</v>
      </c>
      <c r="F20">
        <v>1</v>
      </c>
      <c r="G20">
        <v>1</v>
      </c>
      <c r="H20">
        <f>AVERAGE(C20:G20)</f>
        <v>1.4</v>
      </c>
      <c r="I20">
        <f>_xlfn.STDEV.S(C20:G20)</f>
        <v>0.89442719099991574</v>
      </c>
    </row>
    <row r="21" spans="2:9" x14ac:dyDescent="0.3">
      <c r="B21" t="s">
        <v>12</v>
      </c>
      <c r="C21">
        <v>5</v>
      </c>
      <c r="D21">
        <v>2</v>
      </c>
      <c r="E21">
        <v>4</v>
      </c>
      <c r="F21">
        <v>4</v>
      </c>
      <c r="G21">
        <v>5</v>
      </c>
      <c r="H21">
        <f>AVERAGE(C21:G21)</f>
        <v>4</v>
      </c>
      <c r="I21">
        <f>_xlfn.STDEV.S(C21:G21)</f>
        <v>1.2247448713915889</v>
      </c>
    </row>
    <row r="22" spans="2:9" x14ac:dyDescent="0.3">
      <c r="B22" t="s">
        <v>8</v>
      </c>
      <c r="C22">
        <v>3</v>
      </c>
      <c r="D22">
        <v>6</v>
      </c>
      <c r="E22">
        <v>1</v>
      </c>
      <c r="F22">
        <v>2</v>
      </c>
      <c r="G22">
        <v>9</v>
      </c>
      <c r="H22">
        <f>AVERAGE(C22:G22)</f>
        <v>4.2</v>
      </c>
      <c r="I22">
        <f>_xlfn.STDEV.S(C22:G22)</f>
        <v>3.271085446759225</v>
      </c>
    </row>
    <row r="23" spans="2:9" x14ac:dyDescent="0.3">
      <c r="B23" t="s">
        <v>7</v>
      </c>
      <c r="C23">
        <v>2</v>
      </c>
      <c r="D23">
        <v>5</v>
      </c>
      <c r="E23">
        <v>5</v>
      </c>
      <c r="F23">
        <v>6</v>
      </c>
      <c r="G23">
        <v>4</v>
      </c>
      <c r="H23">
        <f>AVERAGE(C23:G23)</f>
        <v>4.4000000000000004</v>
      </c>
      <c r="I23">
        <f>_xlfn.STDEV.S(C23:G23)</f>
        <v>1.5165750888103104</v>
      </c>
    </row>
    <row r="24" spans="2:9" x14ac:dyDescent="0.3">
      <c r="B24" t="s">
        <v>10</v>
      </c>
      <c r="C24">
        <v>6</v>
      </c>
      <c r="D24">
        <v>3</v>
      </c>
      <c r="E24">
        <v>7</v>
      </c>
      <c r="F24">
        <v>5</v>
      </c>
      <c r="G24">
        <v>2</v>
      </c>
      <c r="H24">
        <f>AVERAGE(C24:G24)</f>
        <v>4.5999999999999996</v>
      </c>
      <c r="I24">
        <f>_xlfn.STDEV.S(C24:G24)</f>
        <v>2.0736441353327724</v>
      </c>
    </row>
    <row r="25" spans="2:9" x14ac:dyDescent="0.3">
      <c r="B25" t="s">
        <v>9</v>
      </c>
      <c r="C25">
        <v>4</v>
      </c>
      <c r="D25">
        <v>4</v>
      </c>
      <c r="E25">
        <v>2</v>
      </c>
      <c r="F25">
        <v>3</v>
      </c>
      <c r="G25">
        <v>10</v>
      </c>
      <c r="H25">
        <f>AVERAGE(C25:G25)</f>
        <v>4.5999999999999996</v>
      </c>
      <c r="I25">
        <f>_xlfn.STDEV.S(C25:G25)</f>
        <v>3.1304951684997055</v>
      </c>
    </row>
    <row r="26" spans="2:9" x14ac:dyDescent="0.3">
      <c r="B26" t="s">
        <v>11</v>
      </c>
      <c r="C26">
        <v>10</v>
      </c>
      <c r="D26">
        <v>7</v>
      </c>
      <c r="E26">
        <v>11</v>
      </c>
      <c r="F26">
        <v>11</v>
      </c>
      <c r="G26">
        <v>3</v>
      </c>
      <c r="H26">
        <f>AVERAGE(C26:G26)</f>
        <v>8.4</v>
      </c>
      <c r="I26">
        <f>_xlfn.STDEV.S(C26:G26)</f>
        <v>3.4351128074635331</v>
      </c>
    </row>
    <row r="27" spans="2:9" x14ac:dyDescent="0.3">
      <c r="B27" t="s">
        <v>13</v>
      </c>
      <c r="C27">
        <v>7</v>
      </c>
      <c r="D27">
        <v>9</v>
      </c>
      <c r="E27">
        <v>10</v>
      </c>
      <c r="F27">
        <v>10</v>
      </c>
      <c r="G27">
        <v>7</v>
      </c>
      <c r="H27">
        <f>AVERAGE(C27:G27)</f>
        <v>8.6</v>
      </c>
      <c r="I27">
        <f>_xlfn.STDEV.S(C27:G27)</f>
        <v>1.5165750888103091</v>
      </c>
    </row>
    <row r="28" spans="2:9" x14ac:dyDescent="0.3">
      <c r="B28" t="s">
        <v>14</v>
      </c>
      <c r="C28">
        <v>8</v>
      </c>
      <c r="D28">
        <v>10</v>
      </c>
      <c r="E28">
        <v>8</v>
      </c>
      <c r="F28">
        <v>8</v>
      </c>
      <c r="G28">
        <v>12</v>
      </c>
      <c r="H28">
        <f>AVERAGE(C28:G28)</f>
        <v>9.1999999999999993</v>
      </c>
      <c r="I28">
        <f>_xlfn.STDEV.S(C28:G28)</f>
        <v>1.7888543819998326</v>
      </c>
    </row>
    <row r="29" spans="2:9" x14ac:dyDescent="0.3">
      <c r="B29" t="s">
        <v>16</v>
      </c>
      <c r="C29">
        <v>11</v>
      </c>
      <c r="D29">
        <v>8</v>
      </c>
      <c r="E29">
        <v>6</v>
      </c>
      <c r="F29">
        <v>7</v>
      </c>
      <c r="G29">
        <v>14</v>
      </c>
      <c r="H29">
        <f>AVERAGE(C29:G29)</f>
        <v>9.1999999999999993</v>
      </c>
      <c r="I29">
        <f>_xlfn.STDEV.S(C29:G29)</f>
        <v>3.2710854467592259</v>
      </c>
    </row>
    <row r="30" spans="2:9" x14ac:dyDescent="0.3">
      <c r="B30" t="s">
        <v>15</v>
      </c>
      <c r="C30">
        <v>9</v>
      </c>
      <c r="D30">
        <v>11</v>
      </c>
      <c r="E30">
        <v>9</v>
      </c>
      <c r="F30">
        <v>9</v>
      </c>
      <c r="G30">
        <v>15</v>
      </c>
      <c r="H30">
        <f>AVERAGE(C30:G30)</f>
        <v>10.6</v>
      </c>
      <c r="I30">
        <f>_xlfn.STDEV.S(C30:G30)</f>
        <v>2.6076809620810617</v>
      </c>
    </row>
    <row r="31" spans="2:9" x14ac:dyDescent="0.3">
      <c r="B31" t="s">
        <v>17</v>
      </c>
      <c r="C31">
        <v>12</v>
      </c>
      <c r="D31">
        <v>13</v>
      </c>
      <c r="E31">
        <v>13</v>
      </c>
      <c r="F31">
        <v>13</v>
      </c>
      <c r="G31">
        <v>8</v>
      </c>
      <c r="H31">
        <f>AVERAGE(C31:G31)</f>
        <v>11.8</v>
      </c>
      <c r="I31">
        <f>_xlfn.STDEV.S(C31:G31)</f>
        <v>2.1679483388678773</v>
      </c>
    </row>
    <row r="32" spans="2:9" x14ac:dyDescent="0.3">
      <c r="B32" t="s">
        <v>19</v>
      </c>
      <c r="C32">
        <v>14</v>
      </c>
      <c r="D32">
        <v>14</v>
      </c>
      <c r="E32">
        <v>12</v>
      </c>
      <c r="F32">
        <v>12</v>
      </c>
      <c r="G32">
        <v>11</v>
      </c>
      <c r="H32">
        <f>AVERAGE(C32:G32)</f>
        <v>12.6</v>
      </c>
      <c r="I32">
        <f>_xlfn.STDEV.S(C32:G32)</f>
        <v>1.3416407864998738</v>
      </c>
    </row>
    <row r="33" spans="2:9" x14ac:dyDescent="0.3">
      <c r="B33" t="s">
        <v>18</v>
      </c>
      <c r="C33">
        <v>13</v>
      </c>
      <c r="D33">
        <v>12</v>
      </c>
      <c r="E33">
        <v>14</v>
      </c>
      <c r="F33">
        <v>14</v>
      </c>
      <c r="G33">
        <v>13</v>
      </c>
      <c r="H33">
        <f>AVERAGE(C33:G33)</f>
        <v>13.2</v>
      </c>
      <c r="I33">
        <f>_xlfn.STDEV.S(C33:G33)</f>
        <v>0.83666002653407556</v>
      </c>
    </row>
    <row r="34" spans="2:9" x14ac:dyDescent="0.3">
      <c r="B34" t="s">
        <v>20</v>
      </c>
      <c r="C34">
        <v>15</v>
      </c>
      <c r="D34">
        <v>15</v>
      </c>
      <c r="E34">
        <v>15</v>
      </c>
      <c r="F34">
        <v>15</v>
      </c>
      <c r="G34">
        <v>6</v>
      </c>
      <c r="H34">
        <f>AVERAGE(C34:G34)</f>
        <v>13.2</v>
      </c>
      <c r="I34">
        <f>_xlfn.STDEV.S(C34:G34)</f>
        <v>4.0249223594996204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Wing Kin Chu</dc:creator>
  <cp:lastModifiedBy>CHU Wing Kin</cp:lastModifiedBy>
  <dcterms:created xsi:type="dcterms:W3CDTF">2015-06-05T18:17:20Z</dcterms:created>
  <dcterms:modified xsi:type="dcterms:W3CDTF">2025-04-12T07:58:57Z</dcterms:modified>
</cp:coreProperties>
</file>