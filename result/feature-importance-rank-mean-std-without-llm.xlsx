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Develop\GitHub\cs5483-project\result\"/>
    </mc:Choice>
  </mc:AlternateContent>
  <xr:revisionPtr revIDLastSave="0" documentId="13_ncr:1_{E7339D46-A228-420E-A5D5-F090C830EE01}" xr6:coauthVersionLast="47" xr6:coauthVersionMax="47" xr10:uidLastSave="{00000000-0000-0000-0000-000000000000}"/>
  <bookViews>
    <workbookView xWindow="180" yWindow="876" windowWidth="19716" windowHeight="109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H17" i="1"/>
  <c r="I15" i="1"/>
  <c r="H15" i="1"/>
  <c r="I16" i="1"/>
  <c r="H16" i="1"/>
  <c r="I13" i="1"/>
  <c r="H13" i="1"/>
  <c r="I14" i="1"/>
  <c r="H14" i="1"/>
  <c r="I12" i="1"/>
  <c r="H12" i="1"/>
  <c r="I6" i="1"/>
  <c r="I7" i="1"/>
  <c r="I8" i="1"/>
  <c r="I9" i="1"/>
  <c r="I10" i="1"/>
  <c r="I5" i="1"/>
  <c r="H6" i="1"/>
  <c r="H7" i="1"/>
  <c r="H8" i="1"/>
  <c r="H9" i="1"/>
  <c r="H10" i="1"/>
  <c r="H5" i="1"/>
</calcChain>
</file>

<file path=xl/sharedStrings.xml><?xml version="1.0" encoding="utf-8"?>
<sst xmlns="http://schemas.openxmlformats.org/spreadsheetml/2006/main" count="22" uniqueCount="16">
  <si>
    <t>Feature importance rank results (tuned)</t>
  </si>
  <si>
    <t>Models</t>
  </si>
  <si>
    <t>adaboost</t>
  </si>
  <si>
    <t>catboost</t>
  </si>
  <si>
    <t>lightgbm</t>
  </si>
  <si>
    <t>random-forest</t>
  </si>
  <si>
    <t>xgboost</t>
  </si>
  <si>
    <t>mean</t>
  </si>
  <si>
    <t>std</t>
  </si>
  <si>
    <t>Feature name</t>
  </si>
  <si>
    <t>comments</t>
  </si>
  <si>
    <t>changed_files</t>
  </si>
  <si>
    <t>additions</t>
  </si>
  <si>
    <t>deletions</t>
  </si>
  <si>
    <t>commits</t>
  </si>
  <si>
    <t>review_comments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</si>
</sst>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7"/>
  <sheetViews>
    <sheetView tabSelected="1" workbookViewId="0">
      <selection activeCell="K9" sqref="K9"/>
    </sheetView>
  </sheetViews>
  <sheetFormatPr defaultRowHeight="15" x14ac:dyDescent="0.3"/>
  <cols>
    <col min="2" max="2" width="38.5" bestFit="1" customWidth="1"/>
    <col min="4" max="4" width="10.125" customWidth="1"/>
    <col min="8" max="8" width="7.75" customWidth="1"/>
  </cols>
  <sheetData>
    <row r="2" spans="2:9" x14ac:dyDescent="0.3">
      <c r="B2" t="s">
        <v>0</v>
      </c>
    </row>
    <row r="3" spans="2:9" x14ac:dyDescent="0.3">
      <c r="C3" t="s">
        <v>1</v>
      </c>
    </row>
    <row r="4" spans="2:9" x14ac:dyDescent="0.3">
      <c r="B4" t="s">
        <v>9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x14ac:dyDescent="0.3">
      <c r="B5" t="s">
        <v>10</v>
      </c>
      <c r="C5">
        <v>1</v>
      </c>
      <c r="D5">
        <v>1</v>
      </c>
      <c r="E5">
        <v>3</v>
      </c>
      <c r="F5">
        <v>1</v>
      </c>
      <c r="G5">
        <v>1</v>
      </c>
      <c r="H5">
        <f>AVERAGE(C5:G5)</f>
        <v>1.4</v>
      </c>
      <c r="I5">
        <f>_xlfn.STDEV.S(C5:G5)</f>
        <v>0.89442719099991574</v>
      </c>
    </row>
    <row r="6" spans="2:9" x14ac:dyDescent="0.3">
      <c r="B6" t="s">
        <v>11</v>
      </c>
      <c r="C6">
        <v>2</v>
      </c>
      <c r="D6">
        <v>3</v>
      </c>
      <c r="E6">
        <v>4</v>
      </c>
      <c r="F6">
        <v>5</v>
      </c>
      <c r="G6">
        <v>4</v>
      </c>
      <c r="H6">
        <f t="shared" ref="H6:H10" si="0">AVERAGE(C6:G6)</f>
        <v>3.6</v>
      </c>
      <c r="I6">
        <f t="shared" ref="I6:I10" si="1">_xlfn.STDEV.S(C6:G6)</f>
        <v>1.1401754250991383</v>
      </c>
    </row>
    <row r="7" spans="2:9" x14ac:dyDescent="0.3">
      <c r="B7" t="s">
        <v>12</v>
      </c>
      <c r="C7">
        <v>3</v>
      </c>
      <c r="D7">
        <v>4</v>
      </c>
      <c r="E7">
        <v>1</v>
      </c>
      <c r="F7">
        <v>2</v>
      </c>
      <c r="G7">
        <v>6</v>
      </c>
      <c r="H7">
        <f t="shared" si="0"/>
        <v>3.2</v>
      </c>
      <c r="I7">
        <f t="shared" si="1"/>
        <v>1.9235384061671343</v>
      </c>
    </row>
    <row r="8" spans="2:9" x14ac:dyDescent="0.3">
      <c r="B8" t="s">
        <v>13</v>
      </c>
      <c r="C8">
        <v>4</v>
      </c>
      <c r="D8">
        <v>6</v>
      </c>
      <c r="E8">
        <v>2</v>
      </c>
      <c r="F8">
        <v>3</v>
      </c>
      <c r="G8">
        <v>5</v>
      </c>
      <c r="H8">
        <f t="shared" si="0"/>
        <v>4</v>
      </c>
      <c r="I8">
        <f t="shared" si="1"/>
        <v>1.5811388300841898</v>
      </c>
    </row>
    <row r="9" spans="2:9" x14ac:dyDescent="0.3">
      <c r="B9" t="s">
        <v>14</v>
      </c>
      <c r="C9">
        <v>5</v>
      </c>
      <c r="D9">
        <v>2</v>
      </c>
      <c r="E9">
        <v>5</v>
      </c>
      <c r="F9">
        <v>4</v>
      </c>
      <c r="G9">
        <v>2</v>
      </c>
      <c r="H9">
        <f t="shared" si="0"/>
        <v>3.6</v>
      </c>
      <c r="I9">
        <f t="shared" si="1"/>
        <v>1.5165750888103104</v>
      </c>
    </row>
    <row r="10" spans="2:9" x14ac:dyDescent="0.3">
      <c r="B10" t="s">
        <v>15</v>
      </c>
      <c r="C10">
        <v>6</v>
      </c>
      <c r="D10">
        <v>5</v>
      </c>
      <c r="E10">
        <v>6</v>
      </c>
      <c r="F10">
        <v>6</v>
      </c>
      <c r="G10">
        <v>3</v>
      </c>
      <c r="H10">
        <f t="shared" si="0"/>
        <v>5.2</v>
      </c>
      <c r="I10">
        <f t="shared" si="1"/>
        <v>1.3038404810405309</v>
      </c>
    </row>
    <row r="12" spans="2:9" x14ac:dyDescent="0.3">
      <c r="B12" t="s">
        <v>10</v>
      </c>
      <c r="C12">
        <v>1</v>
      </c>
      <c r="D12">
        <v>1</v>
      </c>
      <c r="E12">
        <v>3</v>
      </c>
      <c r="F12">
        <v>1</v>
      </c>
      <c r="G12">
        <v>1</v>
      </c>
      <c r="H12">
        <f>AVERAGE(C12:G12)</f>
        <v>1.4</v>
      </c>
      <c r="I12">
        <f>_xlfn.STDEV.S(C12:G12)</f>
        <v>0.89442719099991574</v>
      </c>
    </row>
    <row r="13" spans="2:9" x14ac:dyDescent="0.3">
      <c r="B13" t="s">
        <v>12</v>
      </c>
      <c r="C13">
        <v>3</v>
      </c>
      <c r="D13">
        <v>4</v>
      </c>
      <c r="E13">
        <v>1</v>
      </c>
      <c r="F13">
        <v>2</v>
      </c>
      <c r="G13">
        <v>6</v>
      </c>
      <c r="H13">
        <f>AVERAGE(C13:G13)</f>
        <v>3.2</v>
      </c>
      <c r="I13">
        <f>_xlfn.STDEV.S(C13:G13)</f>
        <v>1.9235384061671343</v>
      </c>
    </row>
    <row r="14" spans="2:9" x14ac:dyDescent="0.3">
      <c r="B14" t="s">
        <v>11</v>
      </c>
      <c r="C14">
        <v>2</v>
      </c>
      <c r="D14">
        <v>3</v>
      </c>
      <c r="E14">
        <v>4</v>
      </c>
      <c r="F14">
        <v>5</v>
      </c>
      <c r="G14">
        <v>4</v>
      </c>
      <c r="H14">
        <f>AVERAGE(C14:G14)</f>
        <v>3.6</v>
      </c>
      <c r="I14">
        <f>_xlfn.STDEV.S(C14:G14)</f>
        <v>1.1401754250991383</v>
      </c>
    </row>
    <row r="15" spans="2:9" x14ac:dyDescent="0.3">
      <c r="B15" t="s">
        <v>14</v>
      </c>
      <c r="C15">
        <v>5</v>
      </c>
      <c r="D15">
        <v>2</v>
      </c>
      <c r="E15">
        <v>5</v>
      </c>
      <c r="F15">
        <v>4</v>
      </c>
      <c r="G15">
        <v>2</v>
      </c>
      <c r="H15">
        <f>AVERAGE(C15:G15)</f>
        <v>3.6</v>
      </c>
      <c r="I15">
        <f>_xlfn.STDEV.S(C15:G15)</f>
        <v>1.5165750888103104</v>
      </c>
    </row>
    <row r="16" spans="2:9" x14ac:dyDescent="0.3">
      <c r="B16" t="s">
        <v>13</v>
      </c>
      <c r="C16">
        <v>4</v>
      </c>
      <c r="D16">
        <v>6</v>
      </c>
      <c r="E16">
        <v>2</v>
      </c>
      <c r="F16">
        <v>3</v>
      </c>
      <c r="G16">
        <v>5</v>
      </c>
      <c r="H16">
        <f>AVERAGE(C16:G16)</f>
        <v>4</v>
      </c>
      <c r="I16">
        <f>_xlfn.STDEV.S(C16:G16)</f>
        <v>1.5811388300841898</v>
      </c>
    </row>
    <row r="17" spans="2:9" x14ac:dyDescent="0.3">
      <c r="B17" t="s">
        <v>15</v>
      </c>
      <c r="C17">
        <v>6</v>
      </c>
      <c r="D17">
        <v>5</v>
      </c>
      <c r="E17">
        <v>6</v>
      </c>
      <c r="F17">
        <v>6</v>
      </c>
      <c r="G17">
        <v>3</v>
      </c>
      <c r="H17">
        <f t="shared" ref="H13:H17" si="2">AVERAGE(C17:G17)</f>
        <v>5.2</v>
      </c>
      <c r="I17">
        <f t="shared" ref="I13:I17" si="3">_xlfn.STDEV.S(C17:G17)</f>
        <v>1.3038404810405309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Wing Kin Chu</dc:creator>
  <cp:lastModifiedBy>CHU Wing Kin</cp:lastModifiedBy>
  <dcterms:created xsi:type="dcterms:W3CDTF">2015-06-05T18:17:20Z</dcterms:created>
  <dcterms:modified xsi:type="dcterms:W3CDTF">2025-04-12T07:27:59Z</dcterms:modified>
</cp:coreProperties>
</file>